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i_\Desktop\Faculdade\PI 5\"/>
    </mc:Choice>
  </mc:AlternateContent>
  <xr:revisionPtr revIDLastSave="0" documentId="8_{26CCE55F-6DDF-4E2E-9753-CC18CACAB592}" xr6:coauthVersionLast="47" xr6:coauthVersionMax="47" xr10:uidLastSave="{00000000-0000-0000-0000-000000000000}"/>
  <bookViews>
    <workbookView xWindow="-120" yWindow="-120" windowWidth="20730" windowHeight="11040" xr2:uid="{83193211-A58D-437D-A2F8-B17E823E25E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1" l="1"/>
  <c r="H3" i="1"/>
  <c r="H4" i="1"/>
  <c r="H6" i="1"/>
  <c r="H7" i="1"/>
  <c r="H8" i="1"/>
  <c r="H9" i="1"/>
  <c r="H10" i="1"/>
  <c r="H11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7" i="1"/>
  <c r="H28" i="1"/>
  <c r="H29" i="1"/>
  <c r="H30" i="1"/>
  <c r="H31" i="1"/>
  <c r="H33" i="1"/>
  <c r="H34" i="1"/>
  <c r="H35" i="1"/>
  <c r="H36" i="1"/>
  <c r="H37" i="1"/>
  <c r="H39" i="1"/>
  <c r="H40" i="1"/>
  <c r="H41" i="1"/>
  <c r="H42" i="1"/>
  <c r="H43" i="1"/>
  <c r="H2" i="1"/>
</calcChain>
</file>

<file path=xl/sharedStrings.xml><?xml version="1.0" encoding="utf-8"?>
<sst xmlns="http://schemas.openxmlformats.org/spreadsheetml/2006/main" count="310" uniqueCount="123">
  <si>
    <t>Tarefa</t>
  </si>
  <si>
    <t>Fase</t>
  </si>
  <si>
    <t>Prioridade</t>
  </si>
  <si>
    <t>Dependência</t>
  </si>
  <si>
    <t>Início</t>
  </si>
  <si>
    <t>Fim</t>
  </si>
  <si>
    <t>Status</t>
  </si>
  <si>
    <t>Alta</t>
  </si>
  <si>
    <t>-</t>
  </si>
  <si>
    <t>Média</t>
  </si>
  <si>
    <t>ETL</t>
  </si>
  <si>
    <t>Carga de candidatos</t>
  </si>
  <si>
    <t>Endpoint listagem</t>
  </si>
  <si>
    <t>Backend</t>
  </si>
  <si>
    <t>ETL candidatos</t>
  </si>
  <si>
    <t>Download PDFs</t>
  </si>
  <si>
    <t>IA</t>
  </si>
  <si>
    <t>Backend pronto</t>
  </si>
  <si>
    <t>Chatbot</t>
  </si>
  <si>
    <t>Frontend</t>
  </si>
  <si>
    <t>Configurar banco de dados PostgreSQL</t>
  </si>
  <si>
    <t>Infraestrutura</t>
  </si>
  <si>
    <t>Criar schema do banco conforme o MER</t>
  </si>
  <si>
    <t>Configurar variáveis de ambiente</t>
  </si>
  <si>
    <t>Download automático dados TSE</t>
  </si>
  <si>
    <t>Infraestrutura completa</t>
  </si>
  <si>
    <t>Carga de dados de candidatos</t>
  </si>
  <si>
    <t>Carga de bens declarados</t>
  </si>
  <si>
    <t>Carga de redes sociais</t>
  </si>
  <si>
    <t>Carga de certidões criminais</t>
  </si>
  <si>
    <t>Carga de motivos de cassação</t>
  </si>
  <si>
    <t>Carga de notas fiscais de campanha</t>
  </si>
  <si>
    <t>Agendamento da importação</t>
  </si>
  <si>
    <t>ETL básico pronto</t>
  </si>
  <si>
    <t>Tolerância a falhas no ETL</t>
  </si>
  <si>
    <t>ETL completo</t>
  </si>
  <si>
    <t>Endpoint listagem paginada</t>
  </si>
  <si>
    <t>Busca por nome / nome de urna</t>
  </si>
  <si>
    <t>Busca por partido</t>
  </si>
  <si>
    <t>Busca por ano eleitoral</t>
  </si>
  <si>
    <t>Perfil completo do candidato</t>
  </si>
  <si>
    <t>Buscas prontas</t>
  </si>
  <si>
    <t>Patrimônio do candidato</t>
  </si>
  <si>
    <t>Perfil completo</t>
  </si>
  <si>
    <t>Histórico eleitoral</t>
  </si>
  <si>
    <t>Situação jurídica</t>
  </si>
  <si>
    <t>Notas fiscais de campanha</t>
  </si>
  <si>
    <t>Redes sociais do candidato</t>
  </si>
  <si>
    <t>Baixa</t>
  </si>
  <si>
    <t>Download PDFs propostas</t>
  </si>
  <si>
    <t>Backend completo</t>
  </si>
  <si>
    <t>Extração de texto dos PDFs</t>
  </si>
  <si>
    <t>Classificação por temas (IA)</t>
  </si>
  <si>
    <t>Extração de texto</t>
  </si>
  <si>
    <t>Resumo por tema (IA)</t>
  </si>
  <si>
    <t>Classificação</t>
  </si>
  <si>
    <t>Processamento assíncrono</t>
  </si>
  <si>
    <t>IA completa</t>
  </si>
  <si>
    <t>Interface chatbot</t>
  </si>
  <si>
    <t>Consulta de dados via chatbot</t>
  </si>
  <si>
    <t>Comparação de candidatos</t>
  </si>
  <si>
    <t>Consulta chatbot</t>
  </si>
  <si>
    <t>Garantir neutralidade</t>
  </si>
  <si>
    <t>Chatbot funcional</t>
  </si>
  <si>
    <t>Tratamento de dados ausentes</t>
  </si>
  <si>
    <t>Página listagem e busca</t>
  </si>
  <si>
    <t>Página perfil candidato</t>
  </si>
  <si>
    <t>Listagem pronta</t>
  </si>
  <si>
    <t>Perfil pronto</t>
  </si>
  <si>
    <t>Linha do tempo eleitoral</t>
  </si>
  <si>
    <t>Interface chatbot frontend</t>
  </si>
  <si>
    <t>Chatbot pronto</t>
  </si>
  <si>
    <t>Responsividade</t>
  </si>
  <si>
    <t>Frontend base</t>
  </si>
  <si>
    <t>Acessibilidade</t>
  </si>
  <si>
    <t>Frontend completo</t>
  </si>
  <si>
    <t>Duração</t>
  </si>
  <si>
    <t>Responsável</t>
  </si>
  <si>
    <t>04/04</t>
  </si>
  <si>
    <t>07/04</t>
  </si>
  <si>
    <t>Vitor, RenanR</t>
  </si>
  <si>
    <t>RenanR, Gabriel</t>
  </si>
  <si>
    <t>Todos</t>
  </si>
  <si>
    <t>Vitor</t>
  </si>
  <si>
    <t>03/04</t>
  </si>
  <si>
    <t>RenanR, RenanL</t>
  </si>
  <si>
    <t>RenanL, Talitha</t>
  </si>
  <si>
    <t>RenanL Guilherme</t>
  </si>
  <si>
    <t>RenanR, Guilherme</t>
  </si>
  <si>
    <t>Guilherme</t>
  </si>
  <si>
    <t>Talitha</t>
  </si>
  <si>
    <t>08/04</t>
  </si>
  <si>
    <t>09/04</t>
  </si>
  <si>
    <t>11/04</t>
  </si>
  <si>
    <t>14/04</t>
  </si>
  <si>
    <t>RenanL</t>
  </si>
  <si>
    <t>Gabriel</t>
  </si>
  <si>
    <t>Gabriel, RenanR</t>
  </si>
  <si>
    <t>Gabriel, Guilherme</t>
  </si>
  <si>
    <t>Vitor, Talitha</t>
  </si>
  <si>
    <t>15/04</t>
  </si>
  <si>
    <t>16/04</t>
  </si>
  <si>
    <t>17/04</t>
  </si>
  <si>
    <t>20/04</t>
  </si>
  <si>
    <t>Guilher, RenanL</t>
  </si>
  <si>
    <t>Talitha, Gabriel, Vitor</t>
  </si>
  <si>
    <t>22/04</t>
  </si>
  <si>
    <t>25/04</t>
  </si>
  <si>
    <t>28/04</t>
  </si>
  <si>
    <t>29/04</t>
  </si>
  <si>
    <t>02/05</t>
  </si>
  <si>
    <t>04/05</t>
  </si>
  <si>
    <t>08/05</t>
  </si>
  <si>
    <t>11/05</t>
  </si>
  <si>
    <t>13/05</t>
  </si>
  <si>
    <t>RenanL, RenanR</t>
  </si>
  <si>
    <t>Vitor, Gabriel</t>
  </si>
  <si>
    <t>Guilherme, Vitor</t>
  </si>
  <si>
    <t>Vitor, Guilherme</t>
  </si>
  <si>
    <t>RenanL, Guilherme</t>
  </si>
  <si>
    <t>15/05</t>
  </si>
  <si>
    <t>18/05</t>
  </si>
  <si>
    <t>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</si>
</sst>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2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A374-F4C8-4B66-B34E-ADB5A0C8FC87}">
  <dimension ref="A1:I44"/>
  <sheetViews>
    <sheetView tabSelected="1" zoomScale="121" workbookViewId="0">
      <selection activeCell="A41" sqref="A41:XFD41"/>
    </sheetView>
  </sheetViews>
  <sheetFormatPr defaultRowHeight="15" x14ac:dyDescent="0.25"/>
  <cols>
    <col min="1" max="1" width="36.85546875" bestFit="1" customWidth="1"/>
    <col min="2" max="2" width="13.28515625" bestFit="1" customWidth="1"/>
    <col min="3" max="3" width="10.28515625" bestFit="1" customWidth="1"/>
    <col min="4" max="4" width="15.28515625" bestFit="1" customWidth="1"/>
    <col min="5" max="5" width="36" bestFit="1" customWidth="1"/>
    <col min="6" max="6" width="11" bestFit="1" customWidth="1"/>
    <col min="7" max="7" width="11.5703125" bestFit="1" customWidth="1"/>
    <col min="8" max="8" width="10.42578125" bestFit="1" customWidth="1"/>
    <col min="9" max="9" width="14.42578125" bestFit="1" customWidth="1"/>
    <col min="10" max="10" width="6.8554687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77</v>
      </c>
      <c r="E1" s="2" t="s">
        <v>3</v>
      </c>
      <c r="F1" s="2" t="s">
        <v>4</v>
      </c>
      <c r="G1" s="2" t="s">
        <v>5</v>
      </c>
      <c r="H1" s="2" t="s">
        <v>76</v>
      </c>
      <c r="I1" s="2" t="s">
        <v>6</v>
      </c>
    </row>
    <row r="2" spans="1:9" x14ac:dyDescent="0.25">
      <c r="A2" t="s">
        <v>20</v>
      </c>
      <c r="B2" t="s">
        <v>21</v>
      </c>
      <c r="C2" t="s">
        <v>7</v>
      </c>
      <c r="D2" t="s">
        <v>82</v>
      </c>
      <c r="E2" t="s">
        <v>8</v>
      </c>
      <c r="F2" s="3" t="s">
        <v>84</v>
      </c>
      <c r="G2" s="3" t="s">
        <v>84</v>
      </c>
      <c r="H2" s="1">
        <f>DATEDIF(F2,G2,"D")</f>
        <v>0</v>
      </c>
      <c r="I2" t="s">
        <v>122</v>
      </c>
    </row>
    <row r="3" spans="1:9" x14ac:dyDescent="0.25">
      <c r="A3" t="s">
        <v>22</v>
      </c>
      <c r="B3" t="s">
        <v>21</v>
      </c>
      <c r="C3" t="s">
        <v>7</v>
      </c>
      <c r="D3" t="s">
        <v>82</v>
      </c>
      <c r="E3" t="s">
        <v>20</v>
      </c>
      <c r="F3" s="3" t="s">
        <v>84</v>
      </c>
      <c r="G3" s="3" t="s">
        <v>84</v>
      </c>
      <c r="H3" s="1">
        <f t="shared" ref="H3:H43" si="0">DATEDIF(F3,G3,"D")</f>
        <v>0</v>
      </c>
      <c r="I3" t="s">
        <v>122</v>
      </c>
    </row>
    <row r="4" spans="1:9" x14ac:dyDescent="0.25">
      <c r="A4" t="s">
        <v>23</v>
      </c>
      <c r="B4" t="s">
        <v>21</v>
      </c>
      <c r="C4" t="s">
        <v>7</v>
      </c>
      <c r="D4" t="s">
        <v>83</v>
      </c>
      <c r="E4" t="s">
        <v>8</v>
      </c>
      <c r="F4" s="3" t="s">
        <v>84</v>
      </c>
      <c r="G4" s="3" t="s">
        <v>84</v>
      </c>
      <c r="H4" s="1">
        <f t="shared" si="0"/>
        <v>0</v>
      </c>
      <c r="I4" t="s">
        <v>122</v>
      </c>
    </row>
    <row r="5" spans="1:9" x14ac:dyDescent="0.25">
      <c r="F5" s="3"/>
      <c r="G5" s="3"/>
      <c r="H5" s="1"/>
    </row>
    <row r="6" spans="1:9" x14ac:dyDescent="0.25">
      <c r="A6" t="s">
        <v>24</v>
      </c>
      <c r="B6" t="s">
        <v>10</v>
      </c>
      <c r="C6" t="s">
        <v>7</v>
      </c>
      <c r="D6" t="s">
        <v>80</v>
      </c>
      <c r="E6" t="s">
        <v>25</v>
      </c>
      <c r="F6" s="3" t="s">
        <v>78</v>
      </c>
      <c r="G6" s="3" t="s">
        <v>79</v>
      </c>
      <c r="H6" s="1">
        <f t="shared" si="0"/>
        <v>3</v>
      </c>
      <c r="I6" t="s">
        <v>122</v>
      </c>
    </row>
    <row r="7" spans="1:9" x14ac:dyDescent="0.25">
      <c r="A7" t="s">
        <v>26</v>
      </c>
      <c r="B7" t="s">
        <v>10</v>
      </c>
      <c r="C7" t="s">
        <v>7</v>
      </c>
      <c r="D7" t="s">
        <v>81</v>
      </c>
      <c r="E7" t="s">
        <v>24</v>
      </c>
      <c r="F7" s="3" t="s">
        <v>79</v>
      </c>
      <c r="G7" s="3" t="s">
        <v>91</v>
      </c>
      <c r="H7" s="1">
        <f t="shared" si="0"/>
        <v>1</v>
      </c>
      <c r="I7" t="s">
        <v>122</v>
      </c>
    </row>
    <row r="8" spans="1:9" x14ac:dyDescent="0.25">
      <c r="A8" t="s">
        <v>27</v>
      </c>
      <c r="B8" t="s">
        <v>10</v>
      </c>
      <c r="C8" t="s">
        <v>9</v>
      </c>
      <c r="D8" t="s">
        <v>88</v>
      </c>
      <c r="E8" t="s">
        <v>11</v>
      </c>
      <c r="F8" s="3" t="s">
        <v>79</v>
      </c>
      <c r="G8" s="3" t="s">
        <v>91</v>
      </c>
      <c r="H8" s="1">
        <f t="shared" si="0"/>
        <v>1</v>
      </c>
      <c r="I8" t="s">
        <v>122</v>
      </c>
    </row>
    <row r="9" spans="1:9" x14ac:dyDescent="0.25">
      <c r="A9" t="s">
        <v>28</v>
      </c>
      <c r="B9" t="s">
        <v>10</v>
      </c>
      <c r="C9" t="s">
        <v>9</v>
      </c>
      <c r="D9" t="s">
        <v>85</v>
      </c>
      <c r="E9" t="s">
        <v>11</v>
      </c>
      <c r="F9" s="3" t="s">
        <v>79</v>
      </c>
      <c r="G9" s="3" t="s">
        <v>91</v>
      </c>
      <c r="H9" s="1">
        <f t="shared" si="0"/>
        <v>1</v>
      </c>
      <c r="I9" t="s">
        <v>122</v>
      </c>
    </row>
    <row r="10" spans="1:9" x14ac:dyDescent="0.25">
      <c r="A10" t="s">
        <v>29</v>
      </c>
      <c r="B10" t="s">
        <v>10</v>
      </c>
      <c r="C10" t="s">
        <v>9</v>
      </c>
      <c r="D10" t="s">
        <v>86</v>
      </c>
      <c r="E10" t="s">
        <v>11</v>
      </c>
      <c r="F10" s="3" t="s">
        <v>79</v>
      </c>
      <c r="G10" s="3" t="s">
        <v>92</v>
      </c>
      <c r="H10" s="1">
        <f t="shared" si="0"/>
        <v>2</v>
      </c>
      <c r="I10" t="s">
        <v>122</v>
      </c>
    </row>
    <row r="11" spans="1:9" x14ac:dyDescent="0.25">
      <c r="A11" t="s">
        <v>30</v>
      </c>
      <c r="B11" t="s">
        <v>10</v>
      </c>
      <c r="C11" t="s">
        <v>9</v>
      </c>
      <c r="D11" t="s">
        <v>87</v>
      </c>
      <c r="E11" t="s">
        <v>11</v>
      </c>
      <c r="F11" s="3" t="s">
        <v>79</v>
      </c>
      <c r="G11" s="3" t="s">
        <v>92</v>
      </c>
      <c r="H11" s="1">
        <f t="shared" si="0"/>
        <v>2</v>
      </c>
      <c r="I11" t="s">
        <v>122</v>
      </c>
    </row>
    <row r="12" spans="1:9" x14ac:dyDescent="0.25">
      <c r="A12" t="s">
        <v>31</v>
      </c>
      <c r="B12" t="s">
        <v>10</v>
      </c>
      <c r="C12" t="s">
        <v>9</v>
      </c>
      <c r="D12" t="s">
        <v>89</v>
      </c>
      <c r="E12" t="s">
        <v>11</v>
      </c>
      <c r="F12" s="3" t="s">
        <v>79</v>
      </c>
      <c r="G12" s="3" t="s">
        <v>92</v>
      </c>
      <c r="H12" s="1">
        <f t="shared" si="0"/>
        <v>2</v>
      </c>
      <c r="I12" t="s">
        <v>122</v>
      </c>
    </row>
    <row r="13" spans="1:9" x14ac:dyDescent="0.25">
      <c r="A13" t="s">
        <v>32</v>
      </c>
      <c r="B13" t="s">
        <v>10</v>
      </c>
      <c r="C13" t="s">
        <v>9</v>
      </c>
      <c r="D13" t="s">
        <v>90</v>
      </c>
      <c r="E13" t="s">
        <v>33</v>
      </c>
      <c r="F13" s="3" t="s">
        <v>79</v>
      </c>
      <c r="G13" s="3" t="s">
        <v>92</v>
      </c>
      <c r="H13" s="1">
        <f t="shared" si="0"/>
        <v>2</v>
      </c>
      <c r="I13" t="s">
        <v>122</v>
      </c>
    </row>
    <row r="14" spans="1:9" x14ac:dyDescent="0.25">
      <c r="A14" t="s">
        <v>34</v>
      </c>
      <c r="B14" t="s">
        <v>10</v>
      </c>
      <c r="C14" t="s">
        <v>7</v>
      </c>
      <c r="D14" t="s">
        <v>83</v>
      </c>
      <c r="E14" t="s">
        <v>35</v>
      </c>
      <c r="F14" s="3" t="s">
        <v>92</v>
      </c>
      <c r="G14" s="3" t="s">
        <v>93</v>
      </c>
      <c r="H14" s="1">
        <f t="shared" si="0"/>
        <v>2</v>
      </c>
      <c r="I14" t="s">
        <v>122</v>
      </c>
    </row>
    <row r="15" spans="1:9" x14ac:dyDescent="0.25">
      <c r="F15" s="3"/>
      <c r="G15" s="3"/>
      <c r="H15" s="1"/>
    </row>
    <row r="16" spans="1:9" x14ac:dyDescent="0.25">
      <c r="A16" t="s">
        <v>36</v>
      </c>
      <c r="B16" t="s">
        <v>13</v>
      </c>
      <c r="C16" t="s">
        <v>7</v>
      </c>
      <c r="D16" t="s">
        <v>89</v>
      </c>
      <c r="E16" t="s">
        <v>14</v>
      </c>
      <c r="F16" s="3" t="s">
        <v>94</v>
      </c>
      <c r="G16" s="3" t="s">
        <v>94</v>
      </c>
      <c r="H16" s="1">
        <f t="shared" si="0"/>
        <v>0</v>
      </c>
      <c r="I16" t="s">
        <v>122</v>
      </c>
    </row>
    <row r="17" spans="1:9" x14ac:dyDescent="0.25">
      <c r="A17" t="s">
        <v>37</v>
      </c>
      <c r="B17" t="s">
        <v>13</v>
      </c>
      <c r="C17" t="s">
        <v>7</v>
      </c>
      <c r="D17" t="s">
        <v>99</v>
      </c>
      <c r="E17" t="s">
        <v>12</v>
      </c>
      <c r="F17" s="3" t="s">
        <v>100</v>
      </c>
      <c r="G17" s="3" t="s">
        <v>101</v>
      </c>
      <c r="H17" s="1">
        <f t="shared" si="0"/>
        <v>1</v>
      </c>
      <c r="I17" t="s">
        <v>122</v>
      </c>
    </row>
    <row r="18" spans="1:9" x14ac:dyDescent="0.25">
      <c r="A18" t="s">
        <v>38</v>
      </c>
      <c r="B18" t="s">
        <v>13</v>
      </c>
      <c r="C18" t="s">
        <v>9</v>
      </c>
      <c r="D18" t="s">
        <v>83</v>
      </c>
      <c r="E18" t="s">
        <v>12</v>
      </c>
      <c r="F18" s="3" t="s">
        <v>100</v>
      </c>
      <c r="G18" s="3" t="s">
        <v>100</v>
      </c>
      <c r="H18" s="1">
        <f t="shared" si="0"/>
        <v>0</v>
      </c>
      <c r="I18" t="s">
        <v>122</v>
      </c>
    </row>
    <row r="19" spans="1:9" x14ac:dyDescent="0.25">
      <c r="A19" t="s">
        <v>39</v>
      </c>
      <c r="B19" t="s">
        <v>13</v>
      </c>
      <c r="C19" t="s">
        <v>9</v>
      </c>
      <c r="D19" t="s">
        <v>80</v>
      </c>
      <c r="E19" t="s">
        <v>12</v>
      </c>
      <c r="F19" s="3" t="s">
        <v>101</v>
      </c>
      <c r="G19" s="3" t="s">
        <v>101</v>
      </c>
      <c r="H19" s="1">
        <f t="shared" si="0"/>
        <v>0</v>
      </c>
      <c r="I19" t="s">
        <v>122</v>
      </c>
    </row>
    <row r="20" spans="1:9" x14ac:dyDescent="0.25">
      <c r="A20" t="s">
        <v>40</v>
      </c>
      <c r="B20" t="s">
        <v>13</v>
      </c>
      <c r="C20" t="s">
        <v>7</v>
      </c>
      <c r="D20" t="s">
        <v>95</v>
      </c>
      <c r="E20" t="s">
        <v>41</v>
      </c>
      <c r="F20" s="3" t="s">
        <v>102</v>
      </c>
      <c r="G20" s="3" t="s">
        <v>102</v>
      </c>
      <c r="H20" s="1">
        <f t="shared" si="0"/>
        <v>0</v>
      </c>
      <c r="I20" t="s">
        <v>122</v>
      </c>
    </row>
    <row r="21" spans="1:9" x14ac:dyDescent="0.25">
      <c r="A21" t="s">
        <v>42</v>
      </c>
      <c r="B21" t="s">
        <v>13</v>
      </c>
      <c r="C21" t="s">
        <v>9</v>
      </c>
      <c r="D21" t="s">
        <v>96</v>
      </c>
      <c r="E21" t="s">
        <v>43</v>
      </c>
      <c r="F21" s="3" t="s">
        <v>103</v>
      </c>
      <c r="G21" s="3" t="s">
        <v>103</v>
      </c>
      <c r="H21" s="1">
        <f t="shared" si="0"/>
        <v>0</v>
      </c>
      <c r="I21" t="s">
        <v>122</v>
      </c>
    </row>
    <row r="22" spans="1:9" x14ac:dyDescent="0.25">
      <c r="A22" t="s">
        <v>44</v>
      </c>
      <c r="B22" t="s">
        <v>13</v>
      </c>
      <c r="C22" t="s">
        <v>9</v>
      </c>
      <c r="D22" t="s">
        <v>98</v>
      </c>
      <c r="E22" t="s">
        <v>43</v>
      </c>
      <c r="F22" s="3" t="s">
        <v>103</v>
      </c>
      <c r="G22" s="3" t="s">
        <v>103</v>
      </c>
      <c r="H22" s="1">
        <f t="shared" si="0"/>
        <v>0</v>
      </c>
      <c r="I22" t="s">
        <v>122</v>
      </c>
    </row>
    <row r="23" spans="1:9" x14ac:dyDescent="0.25">
      <c r="A23" t="s">
        <v>45</v>
      </c>
      <c r="B23" t="s">
        <v>13</v>
      </c>
      <c r="C23" t="s">
        <v>7</v>
      </c>
      <c r="D23" t="s">
        <v>97</v>
      </c>
      <c r="E23" t="s">
        <v>43</v>
      </c>
      <c r="F23" s="3" t="s">
        <v>103</v>
      </c>
      <c r="G23" s="3" t="s">
        <v>103</v>
      </c>
      <c r="H23" s="1">
        <f t="shared" si="0"/>
        <v>0</v>
      </c>
      <c r="I23" t="s">
        <v>122</v>
      </c>
    </row>
    <row r="24" spans="1:9" x14ac:dyDescent="0.25">
      <c r="A24" t="s">
        <v>46</v>
      </c>
      <c r="B24" t="s">
        <v>13</v>
      </c>
      <c r="C24" t="s">
        <v>9</v>
      </c>
      <c r="D24" t="s">
        <v>90</v>
      </c>
      <c r="E24" t="s">
        <v>43</v>
      </c>
      <c r="F24" s="3" t="s">
        <v>103</v>
      </c>
      <c r="G24" s="3" t="s">
        <v>103</v>
      </c>
      <c r="H24" s="1">
        <f t="shared" si="0"/>
        <v>0</v>
      </c>
      <c r="I24" t="s">
        <v>122</v>
      </c>
    </row>
    <row r="25" spans="1:9" x14ac:dyDescent="0.25">
      <c r="A25" t="s">
        <v>47</v>
      </c>
      <c r="B25" t="s">
        <v>13</v>
      </c>
      <c r="C25" t="s">
        <v>48</v>
      </c>
      <c r="D25" t="s">
        <v>90</v>
      </c>
      <c r="E25" t="s">
        <v>43</v>
      </c>
      <c r="F25" s="3" t="s">
        <v>103</v>
      </c>
      <c r="G25" s="3" t="s">
        <v>103</v>
      </c>
      <c r="H25" s="1">
        <f t="shared" si="0"/>
        <v>0</v>
      </c>
      <c r="I25" t="s">
        <v>122</v>
      </c>
    </row>
    <row r="26" spans="1:9" x14ac:dyDescent="0.25">
      <c r="F26" s="3"/>
      <c r="G26" s="3"/>
      <c r="H26" s="1"/>
    </row>
    <row r="27" spans="1:9" x14ac:dyDescent="0.25">
      <c r="A27" t="s">
        <v>49</v>
      </c>
      <c r="B27" t="s">
        <v>16</v>
      </c>
      <c r="C27" t="s">
        <v>9</v>
      </c>
      <c r="D27" t="s">
        <v>95</v>
      </c>
      <c r="E27" t="s">
        <v>50</v>
      </c>
      <c r="F27" s="3" t="s">
        <v>103</v>
      </c>
      <c r="G27" s="3" t="s">
        <v>106</v>
      </c>
      <c r="H27" s="1">
        <f t="shared" si="0"/>
        <v>2</v>
      </c>
      <c r="I27" t="s">
        <v>122</v>
      </c>
    </row>
    <row r="28" spans="1:9" x14ac:dyDescent="0.25">
      <c r="A28" t="s">
        <v>51</v>
      </c>
      <c r="B28" t="s">
        <v>16</v>
      </c>
      <c r="C28" t="s">
        <v>9</v>
      </c>
      <c r="D28" t="s">
        <v>104</v>
      </c>
      <c r="E28" t="s">
        <v>15</v>
      </c>
      <c r="F28" s="3" t="s">
        <v>106</v>
      </c>
      <c r="G28" s="3" t="s">
        <v>107</v>
      </c>
      <c r="H28" s="1">
        <f t="shared" si="0"/>
        <v>3</v>
      </c>
      <c r="I28" t="s">
        <v>122</v>
      </c>
    </row>
    <row r="29" spans="1:9" x14ac:dyDescent="0.25">
      <c r="A29" t="s">
        <v>52</v>
      </c>
      <c r="B29" t="s">
        <v>16</v>
      </c>
      <c r="C29" t="s">
        <v>7</v>
      </c>
      <c r="D29" t="s">
        <v>83</v>
      </c>
      <c r="E29" t="s">
        <v>53</v>
      </c>
      <c r="F29" s="3" t="s">
        <v>107</v>
      </c>
      <c r="G29" s="3" t="s">
        <v>108</v>
      </c>
      <c r="H29" s="1">
        <f t="shared" si="0"/>
        <v>3</v>
      </c>
      <c r="I29" t="s">
        <v>122</v>
      </c>
    </row>
    <row r="30" spans="1:9" x14ac:dyDescent="0.25">
      <c r="A30" t="s">
        <v>54</v>
      </c>
      <c r="B30" t="s">
        <v>16</v>
      </c>
      <c r="C30" t="s">
        <v>9</v>
      </c>
      <c r="D30" t="s">
        <v>80</v>
      </c>
      <c r="E30" t="s">
        <v>55</v>
      </c>
      <c r="F30" s="3" t="s">
        <v>109</v>
      </c>
      <c r="G30" s="3" t="s">
        <v>110</v>
      </c>
      <c r="H30" s="1">
        <f t="shared" si="0"/>
        <v>3</v>
      </c>
      <c r="I30" t="s">
        <v>122</v>
      </c>
    </row>
    <row r="31" spans="1:9" x14ac:dyDescent="0.25">
      <c r="A31" t="s">
        <v>56</v>
      </c>
      <c r="B31" t="s">
        <v>16</v>
      </c>
      <c r="C31" t="s">
        <v>7</v>
      </c>
      <c r="D31" t="s">
        <v>105</v>
      </c>
      <c r="E31" t="s">
        <v>57</v>
      </c>
      <c r="F31" s="3" t="s">
        <v>111</v>
      </c>
      <c r="G31" s="3" t="s">
        <v>112</v>
      </c>
      <c r="H31" s="1">
        <f t="shared" si="0"/>
        <v>4</v>
      </c>
      <c r="I31" t="s">
        <v>122</v>
      </c>
    </row>
    <row r="32" spans="1:9" x14ac:dyDescent="0.25">
      <c r="F32" s="3"/>
      <c r="G32" s="3"/>
      <c r="H32" s="1"/>
    </row>
    <row r="33" spans="1:9" x14ac:dyDescent="0.25">
      <c r="A33" t="s">
        <v>58</v>
      </c>
      <c r="B33" t="s">
        <v>18</v>
      </c>
      <c r="C33" t="s">
        <v>9</v>
      </c>
      <c r="D33" t="s">
        <v>115</v>
      </c>
      <c r="E33" t="s">
        <v>50</v>
      </c>
      <c r="F33" s="3" t="s">
        <v>112</v>
      </c>
      <c r="G33" s="3" t="s">
        <v>113</v>
      </c>
      <c r="H33" s="1">
        <f t="shared" si="0"/>
        <v>3</v>
      </c>
      <c r="I33" t="s">
        <v>122</v>
      </c>
    </row>
    <row r="34" spans="1:9" x14ac:dyDescent="0.25">
      <c r="A34" t="s">
        <v>59</v>
      </c>
      <c r="B34" t="s">
        <v>18</v>
      </c>
      <c r="C34" t="s">
        <v>7</v>
      </c>
      <c r="D34" t="s">
        <v>116</v>
      </c>
      <c r="E34" t="s">
        <v>58</v>
      </c>
      <c r="F34" s="3" t="s">
        <v>113</v>
      </c>
      <c r="G34" s="3" t="s">
        <v>114</v>
      </c>
      <c r="H34" s="1">
        <f t="shared" si="0"/>
        <v>2</v>
      </c>
      <c r="I34" t="s">
        <v>122</v>
      </c>
    </row>
    <row r="35" spans="1:9" x14ac:dyDescent="0.25">
      <c r="A35" t="s">
        <v>60</v>
      </c>
      <c r="B35" t="s">
        <v>18</v>
      </c>
      <c r="C35" t="s">
        <v>9</v>
      </c>
      <c r="D35" t="s">
        <v>99</v>
      </c>
      <c r="E35" t="s">
        <v>61</v>
      </c>
      <c r="F35" s="3" t="s">
        <v>113</v>
      </c>
      <c r="G35" s="3" t="s">
        <v>120</v>
      </c>
      <c r="H35" s="1">
        <f t="shared" si="0"/>
        <v>4</v>
      </c>
      <c r="I35" t="s">
        <v>122</v>
      </c>
    </row>
    <row r="36" spans="1:9" x14ac:dyDescent="0.25">
      <c r="A36" t="s">
        <v>62</v>
      </c>
      <c r="B36" t="s">
        <v>18</v>
      </c>
      <c r="C36" t="s">
        <v>7</v>
      </c>
      <c r="D36" t="s">
        <v>117</v>
      </c>
      <c r="E36" t="s">
        <v>63</v>
      </c>
      <c r="F36" s="3" t="s">
        <v>113</v>
      </c>
      <c r="G36" s="3" t="s">
        <v>120</v>
      </c>
      <c r="H36" s="1">
        <f t="shared" si="0"/>
        <v>4</v>
      </c>
      <c r="I36" t="s">
        <v>122</v>
      </c>
    </row>
    <row r="37" spans="1:9" x14ac:dyDescent="0.25">
      <c r="A37" t="s">
        <v>64</v>
      </c>
      <c r="B37" t="s">
        <v>18</v>
      </c>
      <c r="C37" t="s">
        <v>7</v>
      </c>
      <c r="D37" t="s">
        <v>118</v>
      </c>
      <c r="E37" t="s">
        <v>63</v>
      </c>
      <c r="F37" s="3" t="s">
        <v>113</v>
      </c>
      <c r="G37" s="3" t="s">
        <v>120</v>
      </c>
      <c r="H37" s="1">
        <f t="shared" si="0"/>
        <v>4</v>
      </c>
      <c r="I37" t="s">
        <v>122</v>
      </c>
    </row>
    <row r="38" spans="1:9" x14ac:dyDescent="0.25">
      <c r="F38" s="3"/>
      <c r="G38" s="3"/>
      <c r="H38" s="1"/>
    </row>
    <row r="39" spans="1:9" x14ac:dyDescent="0.25">
      <c r="A39" t="s">
        <v>65</v>
      </c>
      <c r="B39" t="s">
        <v>19</v>
      </c>
      <c r="C39" t="s">
        <v>7</v>
      </c>
      <c r="D39" t="s">
        <v>119</v>
      </c>
      <c r="E39" t="s">
        <v>17</v>
      </c>
      <c r="F39" s="3" t="s">
        <v>111</v>
      </c>
      <c r="G39" s="3" t="s">
        <v>112</v>
      </c>
      <c r="H39" s="1">
        <f t="shared" si="0"/>
        <v>4</v>
      </c>
      <c r="I39" t="s">
        <v>122</v>
      </c>
    </row>
    <row r="40" spans="1:9" x14ac:dyDescent="0.25">
      <c r="A40" t="s">
        <v>66</v>
      </c>
      <c r="B40" t="s">
        <v>19</v>
      </c>
      <c r="C40" t="s">
        <v>7</v>
      </c>
      <c r="D40" t="s">
        <v>86</v>
      </c>
      <c r="E40" t="s">
        <v>67</v>
      </c>
      <c r="F40" s="3" t="s">
        <v>111</v>
      </c>
      <c r="G40" s="3" t="s">
        <v>112</v>
      </c>
      <c r="H40" s="1">
        <f t="shared" si="0"/>
        <v>4</v>
      </c>
      <c r="I40" t="s">
        <v>122</v>
      </c>
    </row>
    <row r="41" spans="1:9" x14ac:dyDescent="0.25">
      <c r="A41" t="s">
        <v>69</v>
      </c>
      <c r="B41" t="s">
        <v>19</v>
      </c>
      <c r="C41" t="s">
        <v>9</v>
      </c>
      <c r="E41" t="s">
        <v>68</v>
      </c>
      <c r="F41" s="3"/>
      <c r="G41" s="3"/>
      <c r="H41" s="1">
        <f t="shared" si="0"/>
        <v>0</v>
      </c>
      <c r="I41" t="s">
        <v>122</v>
      </c>
    </row>
    <row r="42" spans="1:9" x14ac:dyDescent="0.25">
      <c r="A42" t="s">
        <v>70</v>
      </c>
      <c r="B42" t="s">
        <v>19</v>
      </c>
      <c r="C42" t="s">
        <v>7</v>
      </c>
      <c r="D42" t="s">
        <v>97</v>
      </c>
      <c r="E42" t="s">
        <v>71</v>
      </c>
      <c r="F42" s="3" t="s">
        <v>112</v>
      </c>
      <c r="G42" s="3" t="s">
        <v>120</v>
      </c>
      <c r="H42" s="1">
        <f t="shared" si="0"/>
        <v>7</v>
      </c>
      <c r="I42" t="s">
        <v>122</v>
      </c>
    </row>
    <row r="43" spans="1:9" x14ac:dyDescent="0.25">
      <c r="A43" t="s">
        <v>72</v>
      </c>
      <c r="B43" t="s">
        <v>19</v>
      </c>
      <c r="C43" t="s">
        <v>9</v>
      </c>
      <c r="D43" t="s">
        <v>95</v>
      </c>
      <c r="E43" t="s">
        <v>73</v>
      </c>
      <c r="F43" s="3" t="s">
        <v>121</v>
      </c>
      <c r="G43" s="3" t="s">
        <v>121</v>
      </c>
      <c r="H43" s="1">
        <f t="shared" si="0"/>
        <v>0</v>
      </c>
      <c r="I43" t="s">
        <v>122</v>
      </c>
    </row>
    <row r="44" spans="1:9" x14ac:dyDescent="0.25">
      <c r="A44" t="s">
        <v>74</v>
      </c>
      <c r="B44" t="s">
        <v>19</v>
      </c>
      <c r="C44" t="s">
        <v>48</v>
      </c>
      <c r="D44" t="s">
        <v>95</v>
      </c>
      <c r="E44" t="s">
        <v>75</v>
      </c>
      <c r="F44" s="3" t="s">
        <v>121</v>
      </c>
      <c r="G44" s="3" t="s">
        <v>121</v>
      </c>
      <c r="H44" s="1">
        <f>DATEDIF(F44,G44,"D")</f>
        <v>0</v>
      </c>
      <c r="I44" t="s">
        <v>122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Talitha Barbosa Gentil</dc:creator>
  <cp:lastModifiedBy>ENZO BARBOSA GENTIL</cp:lastModifiedBy>
  <dcterms:created xsi:type="dcterms:W3CDTF">2026-03-31T21:34:42Z</dcterms:created>
  <dcterms:modified xsi:type="dcterms:W3CDTF">2026-05-31T12:09:33Z</dcterms:modified>
</cp:coreProperties>
</file>